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dia/image2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Hoja1" sheetId="1" r:id="rId1"/>
  </sheets>
  <externalReferences>
    <externalReference r:id="rId2"/>
  </externalReference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<sst xmlns="http://schemas.openxmlformats.org/spreadsheetml/2006/main" count="441" uniqueCount="253">
  <si>
    <t># DE BOX</t>
  </si>
  <si>
    <t>CODE</t>
  </si>
  <si>
    <t>DECRIPTION</t>
  </si>
  <si>
    <t>LAST COUNT</t>
  </si>
  <si>
    <t>QTY BOXES</t>
  </si>
  <si>
    <t>DERNIER PROJECT</t>
  </si>
  <si>
    <t>BOX 1</t>
  </si>
  <si>
    <t>18-ROSE-PCI-00-40</t>
  </si>
  <si>
    <t>ROSETTE PYRAMIDAL NATUREL 0 PATTES</t>
  </si>
  <si>
    <t>18-ROSE-PCI-05-40</t>
  </si>
  <si>
    <t>ROSETTE PYRAMIDAL NATUREL CLE</t>
  </si>
  <si>
    <t>18-ROSE-PCI-10-40</t>
  </si>
  <si>
    <t>ROSETTE PYRAMIDAL NATUREL 1 PATTE</t>
  </si>
  <si>
    <t>18-ROSE-PCI-20-40</t>
  </si>
  <si>
    <t>ROSETTE PYRAMIDAL NATUREL 2 PATTES</t>
  </si>
  <si>
    <t>18-ROSE-PCI-30-40</t>
  </si>
  <si>
    <t>ROSETTE PYRAMIDAL NATUREL 3 PATTES</t>
  </si>
  <si>
    <t>18-ROSE-PCI-40-40</t>
  </si>
  <si>
    <t>ROSETTE PYRAMIDAL NATUREL 4 PATTES</t>
  </si>
  <si>
    <t>BOX 2</t>
  </si>
  <si>
    <t>DSUPPORTALU.   </t>
  </si>
  <si>
    <t>ROSETTE</t>
  </si>
  <si>
    <t>DSUPPORTTYPE2.    </t>
  </si>
  <si>
    <t>ROSETTE SUPPORT</t>
  </si>
  <si>
    <t>BOX 3</t>
  </si>
  <si>
    <t>18-ROSE-FCI-40-40</t>
  </si>
  <si>
    <t>ROSETTE FLORALE CARRE NATURELE 4 PATTES</t>
  </si>
  <si>
    <t>DECOSPEC/900</t>
  </si>
  <si>
    <t>18-ROSE-FCI-30-40</t>
  </si>
  <si>
    <t>ROSETTE FLORALE CARRE NATURELE 3 PATTES</t>
  </si>
  <si>
    <t>18-ROSE-FCI-20-40</t>
  </si>
  <si>
    <t>ROSETTE FLORALE CARRE NATURELE 2 PATTES</t>
  </si>
  <si>
    <t>18-ROSE-FCI-20-05</t>
  </si>
  <si>
    <t>ROSETTE FLORAL CARRE INTERIEUR CHAMPAGNE 2 PATTES</t>
  </si>
  <si>
    <t>18-ROSE-FCI-40-05</t>
  </si>
  <si>
    <t>ROSETTE FLORAL CARRE INTERIEUR CHAMPAGNE 4 PATTES</t>
  </si>
  <si>
    <t>BOX 4</t>
  </si>
  <si>
    <t>18-ROSE-FCI-05-40</t>
  </si>
  <si>
    <t>ROSETTE FLORALE CARRE NATURELE CLE</t>
  </si>
  <si>
    <t>18-ROSE-FCI-05-42</t>
  </si>
  <si>
    <t>ROSETTE FLORALE CARRE INTERIEUR CLE FINI ETAIN</t>
  </si>
  <si>
    <t>18-ROSE-PCI-05-41</t>
  </si>
  <si>
    <t>ROSETTE PYRAMIDAL FINI ANTIQUE BRONZE CLE</t>
  </si>
  <si>
    <t>B455.40.40.N    (18-ROSE-FCI-05-41)</t>
  </si>
  <si>
    <t>ROSETTE FLORAL ANCIENE</t>
  </si>
  <si>
    <t>B456.35.00.N</t>
  </si>
  <si>
    <t>ROSETTE DE CRYPT TORCHE CARREE BRONZE</t>
  </si>
  <si>
    <t>BJ1128 (E-81011)</t>
  </si>
  <si>
    <t xml:space="preserve">ROSETTE RONDE </t>
  </si>
  <si>
    <t>BJ1125 (E-81003)</t>
  </si>
  <si>
    <t>ROSETTE RONDE</t>
  </si>
  <si>
    <t>DRB1012.10BRZ (C81012.1P)</t>
  </si>
  <si>
    <t>BOX 5</t>
  </si>
  <si>
    <t>18-ROSE-FCI-10-40</t>
  </si>
  <si>
    <t>ROSETTE FLORALE CARRE NATURELE 1 PATTE</t>
  </si>
  <si>
    <t>18-ROSE-FCI-00-40</t>
  </si>
  <si>
    <t>ROSETTE FLORALE CARRE NATURELE 0 PATTES</t>
  </si>
  <si>
    <t>C225030/-900</t>
  </si>
  <si>
    <t>BOX 6</t>
  </si>
  <si>
    <t>18-ROSE-PCI-00-41</t>
  </si>
  <si>
    <t>ROSETTE PYRMIDAL 0 PATTES ANTIQUE BRONZE</t>
  </si>
  <si>
    <t>18-ROSE-PCI-10-41</t>
  </si>
  <si>
    <t>ROSETTE PYRAMIDAL FINI ANTIQUE BRONZE 1 PATTE</t>
  </si>
  <si>
    <t>18-ROSE-PCI-20-41 (E81012 2P)</t>
  </si>
  <si>
    <t>ROSETTE PYRAMIDAL FINI ANTIQUE BRONZE 2 PATTES</t>
  </si>
  <si>
    <t>C255157/-5</t>
  </si>
  <si>
    <t>18-ROSE-PCI-30-41</t>
  </si>
  <si>
    <t>ROSETTE PYRAMIDAL FINI ANTIQUE BRONZE 3 PATTES</t>
  </si>
  <si>
    <t>18-ROSE-PCI-20-41-ANCIEN (DR81012.20BRZ)</t>
  </si>
  <si>
    <t>ROSETTE PYRAMIDAL FINI ANTIQUE BRONZE 2 PATTES COLEUR ANCIEN(SPECIAL)</t>
  </si>
  <si>
    <t>18-ROSE-PCI-40-41-ANCIEN (DR81012.40BRZ)</t>
  </si>
  <si>
    <t>ROSETTE PYRAMIDAL FINI ANTIQUE BRONZE 4 PATTES COLEUR ANCIEN(SPECIAL)</t>
  </si>
  <si>
    <t>BOX 7</t>
  </si>
  <si>
    <t>RETOUR CHANTIER/+143</t>
  </si>
  <si>
    <t>18-ROSE-FCI-10-42</t>
  </si>
  <si>
    <t>ROSETTE FLORALE CARRE INTERIEUR 1 PATTE FINI ETAIN</t>
  </si>
  <si>
    <t>18-ROSE-FCI-30-42</t>
  </si>
  <si>
    <t>ROSETTE FLORALE CARRE INTERIEUR 3 PATTE FINI ETAIN</t>
  </si>
  <si>
    <t>SB81003</t>
  </si>
  <si>
    <t>ROSETTE?</t>
  </si>
  <si>
    <t>REQUISITION LAS VEGAS/-20</t>
  </si>
  <si>
    <t>BOX 8</t>
  </si>
  <si>
    <t>18-ROSE-PCI-05-42</t>
  </si>
  <si>
    <t>ROSETTE PYRAMIDAL FINI ETAIN CLE</t>
  </si>
  <si>
    <t>18-ROSE-PCI-10-42</t>
  </si>
  <si>
    <t>ROSETTE PYRAMIDAL FINI ETAIN 1 PATTE</t>
  </si>
  <si>
    <t>18-ROSE-PCI-20-42</t>
  </si>
  <si>
    <t>ROSETTE PYRAMIDAL FINI ETAIN 2 PATTES</t>
  </si>
  <si>
    <t>C245185/-32</t>
  </si>
  <si>
    <t>18-ROSE-fCI-00-40</t>
  </si>
  <si>
    <t>18-ROSE-PCI-30-42</t>
  </si>
  <si>
    <t>ROSETTE PYRAMIDAL FINI ETAIN 3 PATTES</t>
  </si>
  <si>
    <t>18-ROSE-PCI-40-42</t>
  </si>
  <si>
    <t>ROSETTE PYRAMIDAL FINI ETAIN 4 PATTES</t>
  </si>
  <si>
    <t>C255040/-8</t>
  </si>
  <si>
    <t>BOX 9</t>
  </si>
  <si>
    <t>C245199/-80</t>
  </si>
  <si>
    <t>BOX 10</t>
  </si>
  <si>
    <t>BOX 11</t>
  </si>
  <si>
    <t>B455.40.30.N (2 PATTES AB)</t>
  </si>
  <si>
    <t>ROSETTE SPECIAL PESSANT FINI ANTIQUE BRONZE 2 PATTES</t>
  </si>
  <si>
    <t>B455.40.50.N</t>
  </si>
  <si>
    <t>ROSETTE ANGULAR</t>
  </si>
  <si>
    <t>DR55.40.05 YVES LÉGARÉ</t>
  </si>
  <si>
    <t>ROSETTE YVES LÉGARÉ</t>
  </si>
  <si>
    <t>BOX 12</t>
  </si>
  <si>
    <t>18-ROSE-FCI-40-43</t>
  </si>
  <si>
    <t>ROSETTE FLORALE CARRE INTERIEUR 4 PATTES GOLD</t>
  </si>
  <si>
    <t>18-ROSE-FCI-20-43</t>
  </si>
  <si>
    <t>ROSETTE FLORALE CARRE INTERIEUR 2 PATTES GOLD</t>
  </si>
  <si>
    <t>18-ROSE-FCI-05-41</t>
  </si>
  <si>
    <t>ROSETTE FLORAL CARRE INTERIEUR ANTIQUE BRONZE 0 PATTES AVEC CLE</t>
  </si>
  <si>
    <t>18-ROSE-FCI-10-41</t>
  </si>
  <si>
    <t>ROSETTE FLORALE CARRE INTERIEUR 1 PATTE FINI ANTIQUE BRONZE</t>
  </si>
  <si>
    <t>18-ROSE-PCI-20-41</t>
  </si>
  <si>
    <t>C265019/-144</t>
  </si>
  <si>
    <t>BOX 13</t>
  </si>
  <si>
    <t>18-VTRX-124-78-NO</t>
  </si>
  <si>
    <t>VIS TORX NOIR 10-24 X 7/8"</t>
  </si>
  <si>
    <t>BOX 14</t>
  </si>
  <si>
    <t>18-ROSE-FCI-20-42</t>
  </si>
  <si>
    <t>ROSETTE FLORALE CARRE INTERIEUR 2 PATTE FINI ETAIN</t>
  </si>
  <si>
    <t>C245199/+79</t>
  </si>
  <si>
    <t>18-ROSE-FCI-40-42</t>
  </si>
  <si>
    <t>ROSETTE FLORALE CARRE INTERIEUR 4 PATTE FINI ETAIN</t>
  </si>
  <si>
    <t>C245199/+460</t>
  </si>
  <si>
    <t>BOX 15</t>
  </si>
  <si>
    <t>WIRE1</t>
  </si>
  <si>
    <t>ELECTRIQUE LLS</t>
  </si>
  <si>
    <t>BOX 16</t>
  </si>
  <si>
    <t>BOX 17</t>
  </si>
  <si>
    <t>18-ROSE-PCI-40-41</t>
  </si>
  <si>
    <t>ROSETTE PYRAMIDAL FINI ANTIQUE BRONZE 4 PATTES</t>
  </si>
  <si>
    <t>BOX 18</t>
  </si>
  <si>
    <t>18-ROSE-SUP-T4-40</t>
  </si>
  <si>
    <t>ROSETTE SUPPORT ALUMINIUM(EXTRUSION MACHINEE)</t>
  </si>
  <si>
    <t>18-ANGL-202-135-01</t>
  </si>
  <si>
    <t>Quincaillerie - Angle Métal 137 degrés - 2" x 2" x 1/2" - Mill Finish</t>
  </si>
  <si>
    <t>18-ROSE-PC1-40-72</t>
  </si>
  <si>
    <t>ROSETTE PYRAMIDAL EN X NOIR ET ETAIN</t>
  </si>
  <si>
    <t>18-ANGL-202-025-01</t>
  </si>
  <si>
    <t>ANGLE METAL 2" X 2" X 1/4" MILL FINISH</t>
  </si>
  <si>
    <t>-</t>
  </si>
  <si>
    <t>C265019/-70</t>
  </si>
  <si>
    <t>18-ANGL-202-139-01</t>
  </si>
  <si>
    <t>Quincaillerie - Angle Métal 139 degrés - 2" x 2" x 1/2" - Mill Finish</t>
  </si>
  <si>
    <t>C235004/-20</t>
  </si>
  <si>
    <t>BOX 19</t>
  </si>
  <si>
    <t>18-VCMC-124-15-XX</t>
  </si>
  <si>
    <t>VIS CMC NATUREL 10-24 X 1  1/2"</t>
  </si>
  <si>
    <t>18-VTRX-832-12-XX</t>
  </si>
  <si>
    <t>VIS TORX NATUREL 8-32 X 1/2"</t>
  </si>
  <si>
    <t>18-VCMC-124-15-NO</t>
  </si>
  <si>
    <t xml:space="preserve">VIS CMC NOIR 10-24 X 1 1/2" </t>
  </si>
  <si>
    <t>18-VTRX-124-78-XX</t>
  </si>
  <si>
    <t>VIS TORX NATUREL 10-24 X 7/8"</t>
  </si>
  <si>
    <t>BOX 20</t>
  </si>
  <si>
    <t>18-VTRX-124-15-NO</t>
  </si>
  <si>
    <t>VIS TORX NOIR 10-24 X 1 1/2"</t>
  </si>
  <si>
    <t>BOX 21</t>
  </si>
  <si>
    <t>18-VTRX-832-12-NO</t>
  </si>
  <si>
    <t>VIS TORX NOIR 8-32 X 1/2"</t>
  </si>
  <si>
    <t>18-LOCK-125-XX-XX</t>
  </si>
  <si>
    <t>CAM LOCKS</t>
  </si>
  <si>
    <t>18-VTRX-124-12-NO</t>
  </si>
  <si>
    <t>VIS TORX NOIR 10-24 X 1/2"</t>
  </si>
  <si>
    <t>BOX 22</t>
  </si>
  <si>
    <t>MISC3</t>
  </si>
  <si>
    <t>TAPIS DE PROTECTION DE NICHE 11x11 NOIR</t>
  </si>
  <si>
    <t>BOX 23</t>
  </si>
  <si>
    <t>18-BAKH-024-01</t>
  </si>
  <si>
    <t>CROCHET DE ALUMINIUM</t>
  </si>
  <si>
    <t>C255185/-36</t>
  </si>
  <si>
    <t>BOX 24</t>
  </si>
  <si>
    <t>ELECTRIQUE LLS ET LEDS</t>
  </si>
  <si>
    <t>?</t>
  </si>
  <si>
    <t>BOX 25</t>
  </si>
  <si>
    <t>BOX 26</t>
  </si>
  <si>
    <t>LIFTING3</t>
  </si>
  <si>
    <t>SLING/Courroie 14"</t>
  </si>
  <si>
    <t>LIFTING4</t>
  </si>
  <si>
    <t>SLING/Courroie 16"</t>
  </si>
  <si>
    <t>LIFTING5</t>
  </si>
  <si>
    <t>SLING/Courroie 20"</t>
  </si>
  <si>
    <t>BOX 27</t>
  </si>
  <si>
    <t>TOOL3</t>
  </si>
  <si>
    <t>TOURNEVIS/SCREWDRIVER CMC</t>
  </si>
  <si>
    <t>18-ROSE-PCI-00-42</t>
  </si>
  <si>
    <t>ROSETTE PYRAMIDAL 4 PATTES FINI ETAIN</t>
  </si>
  <si>
    <t>ang-cha-coin 1</t>
  </si>
  <si>
    <t>ANGLE SUPPORT 2" X 2" FOR PLASTIC BASE</t>
  </si>
  <si>
    <t>TOOL4410</t>
  </si>
  <si>
    <t>BITES DE TOURNEVIS/SCREWDRIVER CMC</t>
  </si>
  <si>
    <t>BOX 28</t>
  </si>
  <si>
    <t>LIFTING6</t>
  </si>
  <si>
    <t xml:space="preserve">SLING/Courroie 8" </t>
  </si>
  <si>
    <t>LIFTING1</t>
  </si>
  <si>
    <t>SLING/Courroie 10"</t>
  </si>
  <si>
    <t>LIFTING2</t>
  </si>
  <si>
    <t>SLING/Courroie 12"</t>
  </si>
  <si>
    <t>BOX 29</t>
  </si>
  <si>
    <t xml:space="preserve"> BOX 30</t>
  </si>
  <si>
    <t>18-VRTC-5558-832-XX</t>
  </si>
  <si>
    <t>VIS PAN COURT 8-32X5/8"</t>
  </si>
  <si>
    <t>ASSEMBLAGE/-4000</t>
  </si>
  <si>
    <t>BOX 30</t>
  </si>
  <si>
    <t>BOX 31</t>
  </si>
  <si>
    <t>18-VRTL-6034-832-XX</t>
  </si>
  <si>
    <t>VIS PAN LONG 8-32X3/4"</t>
  </si>
  <si>
    <t>BOX 32</t>
  </si>
  <si>
    <t>NE EXISTE PAS IL FAUL AVOIR UNE AUTRE BOITE</t>
  </si>
  <si>
    <t>BOX 33</t>
  </si>
  <si>
    <t>18-ROSE-FRE-00-41 (BJ1127)</t>
  </si>
  <si>
    <t>ROSETTE BJ1127 ANTIC BRASS ROSETTE FLORALE RONDE ALUMINIUM 3,5CM (JORDA)</t>
  </si>
  <si>
    <t>C255020/-1000</t>
  </si>
  <si>
    <t>BOX 34</t>
  </si>
  <si>
    <t>C265019/-322</t>
  </si>
  <si>
    <t>18-ROSE-FCI-30-41</t>
  </si>
  <si>
    <t>ROSETTE FLORAL CARRE INTERIEUR 3 PATTES FINI ANTIQUE BRONZE</t>
  </si>
  <si>
    <t>BOX 35</t>
  </si>
  <si>
    <t>BOX 36</t>
  </si>
  <si>
    <t>BOX 37</t>
  </si>
  <si>
    <t>3/816X21/4</t>
  </si>
  <si>
    <t>STUDS</t>
  </si>
  <si>
    <t>BOX 38</t>
  </si>
  <si>
    <t>BOX 39</t>
  </si>
  <si>
    <t>BOX 40</t>
  </si>
  <si>
    <t xml:space="preserve">BOX 41 </t>
  </si>
  <si>
    <t>18-CMCA-26M-14-01</t>
  </si>
  <si>
    <t>5/8" M/F PLAT 14" NATUREL</t>
  </si>
  <si>
    <t>BOX 42</t>
  </si>
  <si>
    <t>18-CMCA-26M-12-01</t>
  </si>
  <si>
    <t>5/8" M/F PLAT 12" NATUREL</t>
  </si>
  <si>
    <t>BOX 43</t>
  </si>
  <si>
    <t>3/816UNC</t>
  </si>
  <si>
    <t>HEX NUTS POUR STUD</t>
  </si>
  <si>
    <t>BOX 44</t>
  </si>
  <si>
    <t>18-ROSE-PCI-40-47</t>
  </si>
  <si>
    <t>Rosette - Pyramidal Carré Intérieur - 4,0 PEGS - Noir</t>
  </si>
  <si>
    <t>18-ROSE-PCI-20-47</t>
  </si>
  <si>
    <t>Rosette - Pyramidal Carré Intérieur - 2,0 PEGS - Noir</t>
  </si>
  <si>
    <t>TOOL2</t>
  </si>
  <si>
    <t>TOURNEVIS/SCREWDRIVER TX-15</t>
  </si>
  <si>
    <t>BOX 46</t>
  </si>
  <si>
    <t>BOX 47</t>
  </si>
  <si>
    <t>18-ROSE-FCI-40-41</t>
  </si>
  <si>
    <t>ROSETTE FLORAL CARRE INTERIEUR 4 PATTES FINI ANTIQUE BRONZE</t>
  </si>
  <si>
    <t>BOX 48</t>
  </si>
  <si>
    <t>18-CMCA-05M-12-02</t>
  </si>
  <si>
    <t>Extrusion 0 5/8" - CMCA-05 - Machiné 12" - Light Bronze</t>
  </si>
  <si>
    <t>BOX 49</t>
  </si>
  <si>
    <t>BOX 50</t>
  </si>
  <si>
    <t>BOX 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</si>
</sst>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Aptos Narrow"/>
      <charset val="134"/>
      <scheme val="minor"/>
    </font>
    <font>
      <b/>
      <sz val="9"/>
      <color theme="1"/>
      <name val="Aptos Narrow"/>
      <charset val="134"/>
      <scheme val="minor"/>
    </font>
    <font>
      <b/>
      <sz val="9"/>
      <color theme="1"/>
      <name val="Aptos Narrow"/>
      <charset val="134"/>
    </font>
    <font>
      <sz val="11"/>
      <color theme="1"/>
      <name val="Aptos Narrow"/>
      <charset val="134"/>
    </font>
    <font>
      <sz val="9"/>
      <color theme="1"/>
      <name val="Aptos Narrow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">
    <dxf>
      <font>
        <name val="Aptos Narrow"/>
        <scheme val="none"/>
        <family val="2"/>
        <b val="1"/>
        <i val="0"/>
        <strike val="0"/>
        <u val="none"/>
        <sz val="9"/>
        <color theme="1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ptos Narrow"/>
        <scheme val="none"/>
        <family val="2"/>
        <b val="1"/>
        <i val="0"/>
        <strike val="0"/>
        <u val="none"/>
        <sz val="9"/>
        <color theme="1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ptos Narrow"/>
        <scheme val="none"/>
        <family val="2"/>
        <b val="1"/>
        <i val="0"/>
        <strike val="0"/>
        <u val="none"/>
        <sz val="9"/>
        <color theme="1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ptos Narrow"/>
        <scheme val="none"/>
        <family val="2"/>
        <b val="1"/>
        <i val="0"/>
        <strike val="0"/>
        <u val="none"/>
        <sz val="9"/>
        <color theme="1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Aptos Narrow"/>
        <scheme val="none"/>
        <family val="2"/>
        <strike val="0"/>
        <u val="none"/>
        <sz val="9"/>
        <color theme="1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358140</xdr:colOff>
      <xdr:row>1</xdr:row>
      <xdr:rowOff>7620</xdr:rowOff>
    </xdr:to>
    <xdr:pic macro="[1]!IRALINICIO">
      <xdr:nvPicPr>
        <xdr:cNvPr id="2" name="Gráfico 1" descr="Ábaco con relleno sólido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358140" cy="3581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https:\\cmccarrier.sharepoint.com\sites\CMCFACTORYMANAGEMENT\Shared%20Documents\FICHIER%20HORS%20D'INVENTAIRE%20PHOENIX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ASK"/>
      <sheetName val="INVENTORY"/>
      <sheetName val="PROBLEMS FOUND"/>
      <sheetName val="BLACK BOXES"/>
      <sheetName val="SPACE IN BOXES"/>
      <sheetName val="PICTURES"/>
      <sheetName val="HISTORY"/>
      <sheetName val="DAILY CONSUME"/>
      <sheetName val="OUTINVENTORY"/>
      <sheetName val="COLOR AND SHAPE"/>
      <sheetName val="REGISTRY"/>
      <sheetName val="PROJECTS BACK UP"/>
      <sheetName val="BACK UP DAILY CONSUME"/>
      <sheetName val="BIN ASSAMBLAGE"/>
      <sheetName val="TRANSPORT"/>
      <sheetName val="CRATES"/>
      <sheetName val="HARDWARE"/>
      <sheetName val="ELECTRICAL NEEDS"/>
      <sheetName val="SEARCH"/>
      <sheetName val="SAVED TRANSACTIONS"/>
      <sheetName val="COMMANDER"/>
    </sheetNames>
    <definedNames>
      <definedName name="IRALINICIO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ables/table1.xml><?xml version="1.0" encoding="utf-8"?>
<table xmlns="http://schemas.openxmlformats.org/spreadsheetml/2006/main" id="1" name="Table16" displayName="Table16" ref="A1:E133" totalsRowShown="0">
  <autoFilter xmlns:etc="http://www.wps.cn/officeDocument/2017/etCustomData" ref="A1:E133" etc:filterBottomFollowUsedRange="0"/>
  <tableColumns count="5">
    <tableColumn id="1" name="# DE BOX" dataDxfId="0"/>
    <tableColumn id="2" name="CODE" dataDxfId="1"/>
    <tableColumn id="3" name="DECRIPTION" dataDxfId="2"/>
    <tableColumn id="11" name="LAST COUNT" dataDxfId="3"/>
    <tableColumn id="5" name="QTY BOXES" dataDxfId="4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3"/>
  <sheetViews>
    <sheetView tabSelected="1" workbookViewId="0">
      <selection activeCell="H3" sqref="H3"/>
    </sheetView>
  </sheetViews>
  <sheetFormatPr defaultColWidth="11" defaultRowHeight="13.8" outlineLevelCol="5"/>
  <sheetData>
    <row r="1" ht="27.6" spans="1:6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</row>
    <row r="2" ht="48" spans="1:6">
      <c r="A2" s="4" t="s">
        <v>6</v>
      </c>
      <c r="B2" s="5" t="s">
        <v>7</v>
      </c>
      <c r="C2" s="5" t="s">
        <v>8</v>
      </c>
      <c r="D2" s="4">
        <v>945</v>
      </c>
      <c r="E2" s="4">
        <v>2</v>
      </c>
      <c r="F2" s="6"/>
    </row>
    <row r="3" ht="36" spans="1:6">
      <c r="A3" s="4" t="s">
        <v>6</v>
      </c>
      <c r="B3" s="5" t="s">
        <v>9</v>
      </c>
      <c r="C3" s="5" t="s">
        <v>10</v>
      </c>
      <c r="D3" s="4">
        <f>300+234</f>
        <v>534</v>
      </c>
      <c r="E3" s="4">
        <v>2</v>
      </c>
      <c r="F3" s="6"/>
    </row>
    <row r="4" ht="48" spans="1:6">
      <c r="A4" s="4" t="s">
        <v>6</v>
      </c>
      <c r="B4" s="5" t="s">
        <v>11</v>
      </c>
      <c r="C4" s="5" t="s">
        <v>12</v>
      </c>
      <c r="D4" s="4">
        <f>500+500+138</f>
        <v>1138</v>
      </c>
      <c r="E4" s="4">
        <v>3</v>
      </c>
      <c r="F4" s="6"/>
    </row>
    <row r="5" ht="48" spans="1:6">
      <c r="A5" s="4" t="s">
        <v>6</v>
      </c>
      <c r="B5" s="5" t="s">
        <v>13</v>
      </c>
      <c r="C5" s="5" t="s">
        <v>14</v>
      </c>
      <c r="D5" s="4">
        <f>335+500</f>
        <v>835</v>
      </c>
      <c r="E5" s="4">
        <v>2</v>
      </c>
      <c r="F5" s="6"/>
    </row>
    <row r="6" ht="48" spans="1:6">
      <c r="A6" s="4" t="s">
        <v>6</v>
      </c>
      <c r="B6" s="5" t="s">
        <v>15</v>
      </c>
      <c r="C6" s="5" t="s">
        <v>16</v>
      </c>
      <c r="D6" s="4">
        <f>178+450+450+450</f>
        <v>1528</v>
      </c>
      <c r="E6" s="4">
        <v>4</v>
      </c>
      <c r="F6" s="6"/>
    </row>
    <row r="7" ht="48" spans="1:6">
      <c r="A7" s="4" t="s">
        <v>6</v>
      </c>
      <c r="B7" s="5" t="s">
        <v>17</v>
      </c>
      <c r="C7" s="5" t="s">
        <v>18</v>
      </c>
      <c r="D7" s="4">
        <v>30</v>
      </c>
      <c r="E7" s="4">
        <v>1</v>
      </c>
      <c r="F7" s="6"/>
    </row>
    <row r="8" ht="36" spans="1:6">
      <c r="A8" s="4" t="s">
        <v>19</v>
      </c>
      <c r="B8" s="5" t="s">
        <v>9</v>
      </c>
      <c r="C8" s="5" t="s">
        <v>10</v>
      </c>
      <c r="D8" s="4">
        <f>5038</f>
        <v>5038</v>
      </c>
      <c r="E8" s="4">
        <v>12</v>
      </c>
      <c r="F8" s="6"/>
    </row>
    <row r="9" ht="24" spans="1:6">
      <c r="A9" s="4" t="s">
        <v>19</v>
      </c>
      <c r="B9" s="5" t="s">
        <v>20</v>
      </c>
      <c r="C9" s="5" t="s">
        <v>21</v>
      </c>
      <c r="D9" s="4">
        <f>290+161</f>
        <v>451</v>
      </c>
      <c r="E9" s="4">
        <v>2</v>
      </c>
      <c r="F9" s="6"/>
    </row>
    <row r="10" ht="24" spans="1:6">
      <c r="A10" s="4" t="s">
        <v>19</v>
      </c>
      <c r="B10" s="5" t="s">
        <v>22</v>
      </c>
      <c r="C10" s="5" t="s">
        <v>23</v>
      </c>
      <c r="D10" s="4">
        <f>300+132</f>
        <v>432</v>
      </c>
      <c r="E10" s="4">
        <v>2</v>
      </c>
      <c r="F10" s="6"/>
    </row>
    <row r="11" ht="60" spans="1:6">
      <c r="A11" s="4" t="s">
        <v>24</v>
      </c>
      <c r="B11" s="5" t="s">
        <v>25</v>
      </c>
      <c r="C11" s="5" t="s">
        <v>26</v>
      </c>
      <c r="D11" s="4">
        <v>0</v>
      </c>
      <c r="E11" s="4">
        <v>0</v>
      </c>
      <c r="F11" s="6" t="s">
        <v>27</v>
      </c>
    </row>
    <row r="12" ht="60" spans="1:6">
      <c r="A12" s="4" t="s">
        <v>24</v>
      </c>
      <c r="B12" s="5" t="s">
        <v>28</v>
      </c>
      <c r="C12" s="5" t="s">
        <v>29</v>
      </c>
      <c r="D12" s="4">
        <f>450*5</f>
        <v>2250</v>
      </c>
      <c r="E12" s="4">
        <v>5</v>
      </c>
      <c r="F12" s="6"/>
    </row>
    <row r="13" ht="60" spans="1:6">
      <c r="A13" s="4" t="s">
        <v>24</v>
      </c>
      <c r="B13" s="5" t="s">
        <v>30</v>
      </c>
      <c r="C13" s="5" t="s">
        <v>31</v>
      </c>
      <c r="D13" s="4">
        <f>450+279</f>
        <v>729</v>
      </c>
      <c r="E13" s="4">
        <v>2</v>
      </c>
      <c r="F13" s="6"/>
    </row>
    <row r="14" ht="72" spans="1:6">
      <c r="A14" s="4" t="s">
        <v>24</v>
      </c>
      <c r="B14" s="5" t="s">
        <v>32</v>
      </c>
      <c r="C14" s="5" t="s">
        <v>33</v>
      </c>
      <c r="D14" s="4">
        <v>96</v>
      </c>
      <c r="E14" s="4">
        <v>1</v>
      </c>
      <c r="F14" s="6"/>
    </row>
    <row r="15" ht="72" spans="1:6">
      <c r="A15" s="4" t="s">
        <v>24</v>
      </c>
      <c r="B15" s="5" t="s">
        <v>34</v>
      </c>
      <c r="C15" s="5" t="s">
        <v>35</v>
      </c>
      <c r="D15" s="4">
        <v>43</v>
      </c>
      <c r="E15" s="4">
        <v>1</v>
      </c>
      <c r="F15" s="6"/>
    </row>
    <row r="16" ht="60" spans="1:6">
      <c r="A16" s="4" t="s">
        <v>36</v>
      </c>
      <c r="B16" s="5" t="s">
        <v>37</v>
      </c>
      <c r="C16" s="5" t="s">
        <v>38</v>
      </c>
      <c r="D16" s="4">
        <f>450*3+150</f>
        <v>1500</v>
      </c>
      <c r="E16" s="4">
        <v>4</v>
      </c>
      <c r="F16" s="6"/>
    </row>
    <row r="17" ht="72" spans="1:6">
      <c r="A17" s="4" t="s">
        <v>36</v>
      </c>
      <c r="B17" s="5" t="s">
        <v>39</v>
      </c>
      <c r="C17" s="5" t="s">
        <v>40</v>
      </c>
      <c r="D17" s="4">
        <f>52</f>
        <v>52</v>
      </c>
      <c r="E17" s="4">
        <v>1</v>
      </c>
      <c r="F17" s="6"/>
    </row>
    <row r="18" ht="48" spans="1:6">
      <c r="A18" s="4" t="s">
        <v>36</v>
      </c>
      <c r="B18" s="5" t="s">
        <v>41</v>
      </c>
      <c r="C18" s="5" t="s">
        <v>42</v>
      </c>
      <c r="D18" s="4">
        <f>110</f>
        <v>110</v>
      </c>
      <c r="E18" s="4">
        <v>1</v>
      </c>
      <c r="F18" s="6"/>
    </row>
    <row r="19" ht="36" spans="1:6">
      <c r="A19" s="4" t="s">
        <v>36</v>
      </c>
      <c r="B19" s="5" t="s">
        <v>43</v>
      </c>
      <c r="C19" s="5" t="s">
        <v>44</v>
      </c>
      <c r="D19" s="4">
        <f>400+400+251</f>
        <v>1051</v>
      </c>
      <c r="E19" s="4">
        <v>3</v>
      </c>
      <c r="F19" s="6"/>
    </row>
    <row r="20" ht="60" spans="1:6">
      <c r="A20" s="4" t="s">
        <v>36</v>
      </c>
      <c r="B20" s="5" t="s">
        <v>45</v>
      </c>
      <c r="C20" s="5" t="s">
        <v>46</v>
      </c>
      <c r="D20" s="4">
        <f>509</f>
        <v>509</v>
      </c>
      <c r="E20" s="4">
        <v>1</v>
      </c>
      <c r="F20" s="6"/>
    </row>
    <row r="21" ht="24" spans="1:6">
      <c r="A21" s="4" t="s">
        <v>36</v>
      </c>
      <c r="B21" s="5" t="s">
        <v>47</v>
      </c>
      <c r="C21" s="5" t="s">
        <v>48</v>
      </c>
      <c r="D21" s="4">
        <f>159</f>
        <v>159</v>
      </c>
      <c r="E21" s="4">
        <v>1</v>
      </c>
      <c r="F21" s="6"/>
    </row>
    <row r="22" ht="24" spans="1:6">
      <c r="A22" s="4" t="s">
        <v>36</v>
      </c>
      <c r="B22" s="5" t="s">
        <v>49</v>
      </c>
      <c r="C22" s="5" t="s">
        <v>50</v>
      </c>
      <c r="D22" s="4">
        <v>550</v>
      </c>
      <c r="E22" s="4">
        <v>1</v>
      </c>
      <c r="F22" s="6"/>
    </row>
    <row r="23" ht="36" spans="1:6">
      <c r="A23" s="4" t="s">
        <v>36</v>
      </c>
      <c r="B23" s="5" t="s">
        <v>51</v>
      </c>
      <c r="C23" s="5" t="s">
        <v>21</v>
      </c>
      <c r="D23" s="4">
        <f>82</f>
        <v>82</v>
      </c>
      <c r="E23" s="4">
        <v>1</v>
      </c>
      <c r="F23" s="6"/>
    </row>
    <row r="24" ht="60" spans="1:6">
      <c r="A24" s="4" t="s">
        <v>52</v>
      </c>
      <c r="B24" s="5" t="s">
        <v>30</v>
      </c>
      <c r="C24" s="5" t="s">
        <v>31</v>
      </c>
      <c r="D24" s="4">
        <f>450*3+367</f>
        <v>1717</v>
      </c>
      <c r="E24" s="4">
        <v>4</v>
      </c>
      <c r="F24" s="6"/>
    </row>
    <row r="25" ht="60" spans="1:6">
      <c r="A25" s="4" t="s">
        <v>52</v>
      </c>
      <c r="B25" s="5" t="s">
        <v>53</v>
      </c>
      <c r="C25" s="5" t="s">
        <v>54</v>
      </c>
      <c r="D25" s="4">
        <f>450*4+542</f>
        <v>2342</v>
      </c>
      <c r="E25" s="4">
        <v>5</v>
      </c>
      <c r="F25" s="6"/>
    </row>
    <row r="26" ht="60" spans="1:6">
      <c r="A26" s="4" t="s">
        <v>52</v>
      </c>
      <c r="B26" s="5" t="s">
        <v>55</v>
      </c>
      <c r="C26" s="5" t="s">
        <v>56</v>
      </c>
      <c r="D26" s="4">
        <v>450</v>
      </c>
      <c r="E26" s="4">
        <v>3</v>
      </c>
      <c r="F26" s="6" t="s">
        <v>57</v>
      </c>
    </row>
    <row r="27" ht="60" spans="1:6">
      <c r="A27" s="4" t="s">
        <v>58</v>
      </c>
      <c r="B27" s="5" t="s">
        <v>59</v>
      </c>
      <c r="C27" s="5" t="s">
        <v>60</v>
      </c>
      <c r="D27" s="4">
        <v>428</v>
      </c>
      <c r="E27" s="4">
        <v>1</v>
      </c>
      <c r="F27" s="6"/>
    </row>
    <row r="28" ht="36" spans="1:6">
      <c r="A28" s="4" t="s">
        <v>58</v>
      </c>
      <c r="B28" s="5" t="s">
        <v>9</v>
      </c>
      <c r="C28" s="5" t="s">
        <v>10</v>
      </c>
      <c r="D28" s="4">
        <v>550</v>
      </c>
      <c r="E28" s="4">
        <v>1</v>
      </c>
      <c r="F28" s="6"/>
    </row>
    <row r="29" ht="60" spans="1:6">
      <c r="A29" s="4" t="s">
        <v>58</v>
      </c>
      <c r="B29" s="5" t="s">
        <v>61</v>
      </c>
      <c r="C29" s="5" t="s">
        <v>62</v>
      </c>
      <c r="D29" s="4">
        <v>424</v>
      </c>
      <c r="E29" s="4">
        <v>1</v>
      </c>
      <c r="F29" s="6"/>
    </row>
    <row r="30" ht="60" spans="1:6">
      <c r="A30" s="4" t="s">
        <v>58</v>
      </c>
      <c r="B30" s="5" t="s">
        <v>63</v>
      </c>
      <c r="C30" s="5" t="s">
        <v>64</v>
      </c>
      <c r="D30" s="4">
        <v>48</v>
      </c>
      <c r="E30" s="4">
        <v>1</v>
      </c>
      <c r="F30" s="6" t="s">
        <v>65</v>
      </c>
    </row>
    <row r="31" ht="48" spans="1:6">
      <c r="A31" s="4" t="s">
        <v>58</v>
      </c>
      <c r="B31" s="5" t="s">
        <v>15</v>
      </c>
      <c r="C31" s="5" t="s">
        <v>16</v>
      </c>
      <c r="D31" s="4">
        <v>900</v>
      </c>
      <c r="E31" s="4">
        <v>2</v>
      </c>
      <c r="F31" s="6"/>
    </row>
    <row r="32" ht="60" spans="1:6">
      <c r="A32" s="4" t="s">
        <v>58</v>
      </c>
      <c r="B32" s="5" t="s">
        <v>66</v>
      </c>
      <c r="C32" s="5" t="s">
        <v>67</v>
      </c>
      <c r="D32" s="4">
        <v>273</v>
      </c>
      <c r="E32" s="4">
        <v>1</v>
      </c>
      <c r="F32" s="6"/>
    </row>
    <row r="33" ht="96" spans="1:6">
      <c r="A33" s="4" t="s">
        <v>58</v>
      </c>
      <c r="B33" s="5" t="s">
        <v>68</v>
      </c>
      <c r="C33" s="5" t="s">
        <v>69</v>
      </c>
      <c r="D33" s="4">
        <v>68</v>
      </c>
      <c r="E33" s="4">
        <v>1</v>
      </c>
      <c r="F33" s="6"/>
    </row>
    <row r="34" ht="96" spans="1:6">
      <c r="A34" s="4" t="s">
        <v>58</v>
      </c>
      <c r="B34" s="5" t="s">
        <v>70</v>
      </c>
      <c r="C34" s="5" t="s">
        <v>71</v>
      </c>
      <c r="D34" s="4">
        <v>305</v>
      </c>
      <c r="E34" s="4">
        <v>1</v>
      </c>
      <c r="F34" s="6"/>
    </row>
    <row r="35" ht="60" spans="1:6">
      <c r="A35" s="4" t="s">
        <v>72</v>
      </c>
      <c r="B35" s="5" t="s">
        <v>53</v>
      </c>
      <c r="C35" s="5" t="s">
        <v>54</v>
      </c>
      <c r="D35" s="4">
        <f>450</f>
        <v>450</v>
      </c>
      <c r="E35" s="4">
        <v>1</v>
      </c>
      <c r="F35" s="6"/>
    </row>
    <row r="36" ht="60" spans="1:6">
      <c r="A36" s="4" t="s">
        <v>72</v>
      </c>
      <c r="B36" s="5" t="s">
        <v>55</v>
      </c>
      <c r="C36" s="5" t="s">
        <v>56</v>
      </c>
      <c r="D36" s="4">
        <v>274</v>
      </c>
      <c r="E36" s="4">
        <v>1</v>
      </c>
      <c r="F36" s="6" t="s">
        <v>73</v>
      </c>
    </row>
    <row r="37" ht="72" spans="1:6">
      <c r="A37" s="4" t="s">
        <v>72</v>
      </c>
      <c r="B37" s="5" t="s">
        <v>74</v>
      </c>
      <c r="C37" s="5" t="s">
        <v>75</v>
      </c>
      <c r="D37" s="4">
        <f>72+443+450+450</f>
        <v>1415</v>
      </c>
      <c r="E37" s="4">
        <v>4</v>
      </c>
      <c r="F37" s="6"/>
    </row>
    <row r="38" ht="72" spans="1:6">
      <c r="A38" s="4" t="s">
        <v>72</v>
      </c>
      <c r="B38" s="5" t="s">
        <v>76</v>
      </c>
      <c r="C38" s="5" t="s">
        <v>77</v>
      </c>
      <c r="D38" s="4">
        <f>19</f>
        <v>19</v>
      </c>
      <c r="E38" s="4">
        <v>1</v>
      </c>
      <c r="F38" s="6"/>
    </row>
    <row r="39" ht="24" spans="1:6">
      <c r="A39" s="4" t="s">
        <v>72</v>
      </c>
      <c r="B39" s="5" t="s">
        <v>47</v>
      </c>
      <c r="C39" s="5" t="s">
        <v>48</v>
      </c>
      <c r="D39" s="4">
        <f>400+400+152</f>
        <v>952</v>
      </c>
      <c r="E39" s="4">
        <v>3</v>
      </c>
      <c r="F39" s="6"/>
    </row>
    <row r="40" ht="41.4" spans="1:6">
      <c r="A40" s="4" t="s">
        <v>72</v>
      </c>
      <c r="B40" s="5" t="s">
        <v>78</v>
      </c>
      <c r="C40" s="5" t="s">
        <v>79</v>
      </c>
      <c r="D40" s="4">
        <f>501+710+500</f>
        <v>1711</v>
      </c>
      <c r="E40" s="4">
        <v>3</v>
      </c>
      <c r="F40" s="6" t="s">
        <v>80</v>
      </c>
    </row>
    <row r="41" ht="48" spans="1:6">
      <c r="A41" s="4" t="s">
        <v>81</v>
      </c>
      <c r="B41" s="5" t="s">
        <v>82</v>
      </c>
      <c r="C41" s="5" t="s">
        <v>83</v>
      </c>
      <c r="D41" s="4">
        <f>330+292</f>
        <v>622</v>
      </c>
      <c r="E41" s="4">
        <v>2</v>
      </c>
      <c r="F41" s="6"/>
    </row>
    <row r="42" ht="48" spans="1:6">
      <c r="A42" s="4" t="s">
        <v>81</v>
      </c>
      <c r="B42" s="5" t="s">
        <v>84</v>
      </c>
      <c r="C42" s="5" t="s">
        <v>85</v>
      </c>
      <c r="D42" s="4">
        <f>354+193</f>
        <v>547</v>
      </c>
      <c r="E42" s="4">
        <v>2</v>
      </c>
      <c r="F42" s="6"/>
    </row>
    <row r="43" ht="48" spans="1:6">
      <c r="A43" s="4" t="s">
        <v>81</v>
      </c>
      <c r="B43" s="5" t="s">
        <v>86</v>
      </c>
      <c r="C43" s="5" t="s">
        <v>87</v>
      </c>
      <c r="D43" s="4">
        <v>443</v>
      </c>
      <c r="E43" s="4">
        <v>1</v>
      </c>
      <c r="F43" s="6" t="s">
        <v>88</v>
      </c>
    </row>
    <row r="44" ht="60" spans="1:6">
      <c r="A44" s="4" t="s">
        <v>81</v>
      </c>
      <c r="B44" s="5" t="s">
        <v>89</v>
      </c>
      <c r="C44" s="5" t="s">
        <v>56</v>
      </c>
      <c r="D44" s="4">
        <v>450</v>
      </c>
      <c r="E44" s="4">
        <v>1</v>
      </c>
      <c r="F44" s="6"/>
    </row>
    <row r="45" ht="48" spans="1:6">
      <c r="A45" s="4" t="s">
        <v>81</v>
      </c>
      <c r="B45" s="5" t="s">
        <v>90</v>
      </c>
      <c r="C45" s="5" t="s">
        <v>91</v>
      </c>
      <c r="D45" s="4">
        <f>232+265</f>
        <v>497</v>
      </c>
      <c r="E45" s="4">
        <v>2</v>
      </c>
      <c r="F45" s="6"/>
    </row>
    <row r="46" ht="48" spans="1:6">
      <c r="A46" s="4" t="s">
        <v>81</v>
      </c>
      <c r="B46" s="5" t="s">
        <v>92</v>
      </c>
      <c r="C46" s="5" t="s">
        <v>93</v>
      </c>
      <c r="D46" s="4">
        <v>235</v>
      </c>
      <c r="E46" s="4">
        <v>2</v>
      </c>
      <c r="F46" s="6" t="s">
        <v>94</v>
      </c>
    </row>
    <row r="47" ht="60" spans="1:6">
      <c r="A47" s="4" t="s">
        <v>95</v>
      </c>
      <c r="B47" s="5" t="s">
        <v>28</v>
      </c>
      <c r="C47" s="5" t="s">
        <v>29</v>
      </c>
      <c r="D47" s="4">
        <f>450</f>
        <v>450</v>
      </c>
      <c r="E47" s="4">
        <v>1</v>
      </c>
      <c r="F47" s="6"/>
    </row>
    <row r="48" ht="60" spans="1:6">
      <c r="A48" s="4" t="s">
        <v>95</v>
      </c>
      <c r="B48" s="5" t="s">
        <v>30</v>
      </c>
      <c r="C48" s="5" t="s">
        <v>31</v>
      </c>
      <c r="D48" s="4">
        <v>343</v>
      </c>
      <c r="E48" s="4">
        <v>1</v>
      </c>
      <c r="F48" s="6"/>
    </row>
    <row r="49" ht="60" spans="1:6">
      <c r="A49" s="4" t="s">
        <v>95</v>
      </c>
      <c r="B49" s="5" t="s">
        <v>53</v>
      </c>
      <c r="C49" s="5" t="s">
        <v>54</v>
      </c>
      <c r="D49" s="4">
        <f>450</f>
        <v>450</v>
      </c>
      <c r="E49" s="4">
        <v>1</v>
      </c>
      <c r="F49" s="6"/>
    </row>
    <row r="50" ht="48" spans="1:6">
      <c r="A50" s="4" t="s">
        <v>95</v>
      </c>
      <c r="B50" s="5" t="s">
        <v>86</v>
      </c>
      <c r="C50" s="5" t="s">
        <v>87</v>
      </c>
      <c r="D50" s="4">
        <v>502</v>
      </c>
      <c r="E50" s="4">
        <v>1</v>
      </c>
      <c r="F50" s="6" t="s">
        <v>96</v>
      </c>
    </row>
    <row r="51" ht="48" spans="1:6">
      <c r="A51" s="4" t="s">
        <v>97</v>
      </c>
      <c r="B51" s="5" t="s">
        <v>7</v>
      </c>
      <c r="C51" s="5" t="s">
        <v>8</v>
      </c>
      <c r="D51" s="4">
        <v>458</v>
      </c>
      <c r="E51" s="4">
        <v>1</v>
      </c>
      <c r="F51" s="6"/>
    </row>
    <row r="52" ht="48" spans="1:6">
      <c r="A52" s="4" t="s">
        <v>97</v>
      </c>
      <c r="B52" s="5" t="s">
        <v>11</v>
      </c>
      <c r="C52" s="5" t="s">
        <v>12</v>
      </c>
      <c r="D52" s="4">
        <f>500*3</f>
        <v>1500</v>
      </c>
      <c r="E52" s="4">
        <v>3</v>
      </c>
      <c r="F52" s="6"/>
    </row>
    <row r="53" ht="48" spans="1:6">
      <c r="A53" s="4" t="s">
        <v>97</v>
      </c>
      <c r="B53" s="5" t="s">
        <v>15</v>
      </c>
      <c r="C53" s="5" t="s">
        <v>16</v>
      </c>
      <c r="D53" s="4">
        <v>450</v>
      </c>
      <c r="E53" s="4">
        <v>1</v>
      </c>
      <c r="F53" s="6"/>
    </row>
    <row r="54" ht="48" spans="1:6">
      <c r="A54" s="4" t="s">
        <v>98</v>
      </c>
      <c r="B54" s="5" t="s">
        <v>7</v>
      </c>
      <c r="C54" s="5" t="s">
        <v>8</v>
      </c>
      <c r="D54" s="4">
        <f>500+500+347</f>
        <v>1347</v>
      </c>
      <c r="E54" s="4">
        <v>3</v>
      </c>
      <c r="F54" s="6"/>
    </row>
    <row r="55" ht="72" spans="1:6">
      <c r="A55" s="4" t="s">
        <v>98</v>
      </c>
      <c r="B55" s="5" t="s">
        <v>99</v>
      </c>
      <c r="C55" s="5" t="s">
        <v>100</v>
      </c>
      <c r="D55" s="4">
        <v>455</v>
      </c>
      <c r="E55" s="4">
        <v>-1</v>
      </c>
      <c r="F55" s="6"/>
    </row>
    <row r="56" ht="24" spans="1:6">
      <c r="A56" s="4" t="s">
        <v>98</v>
      </c>
      <c r="B56" s="5" t="s">
        <v>101</v>
      </c>
      <c r="C56" s="5" t="s">
        <v>102</v>
      </c>
      <c r="D56" s="4">
        <v>281</v>
      </c>
      <c r="E56" s="4">
        <v>1</v>
      </c>
      <c r="F56" s="6"/>
    </row>
    <row r="57" ht="24" spans="1:6">
      <c r="A57" s="4" t="s">
        <v>98</v>
      </c>
      <c r="B57" s="5" t="s">
        <v>103</v>
      </c>
      <c r="C57" s="5" t="s">
        <v>104</v>
      </c>
      <c r="D57" s="4">
        <f>498+653+342</f>
        <v>1493</v>
      </c>
      <c r="E57" s="4">
        <v>3</v>
      </c>
      <c r="F57" s="6"/>
    </row>
    <row r="58" ht="72" spans="1:6">
      <c r="A58" s="4" t="s">
        <v>105</v>
      </c>
      <c r="B58" s="5" t="s">
        <v>106</v>
      </c>
      <c r="C58" s="5" t="s">
        <v>107</v>
      </c>
      <c r="D58" s="4">
        <v>188</v>
      </c>
      <c r="E58" s="4">
        <v>1</v>
      </c>
      <c r="F58" s="6"/>
    </row>
    <row r="59" ht="72" spans="1:6">
      <c r="A59" s="4" t="s">
        <v>105</v>
      </c>
      <c r="B59" s="5" t="s">
        <v>108</v>
      </c>
      <c r="C59" s="5" t="s">
        <v>109</v>
      </c>
      <c r="D59" s="4">
        <v>73</v>
      </c>
      <c r="E59" s="4">
        <v>1</v>
      </c>
      <c r="F59" s="6"/>
    </row>
    <row r="60" ht="96" spans="1:6">
      <c r="A60" s="4" t="s">
        <v>105</v>
      </c>
      <c r="B60" s="5" t="s">
        <v>110</v>
      </c>
      <c r="C60" s="5" t="s">
        <v>111</v>
      </c>
      <c r="D60" s="4">
        <v>450</v>
      </c>
      <c r="E60" s="4">
        <v>1</v>
      </c>
      <c r="F60" s="6"/>
    </row>
    <row r="61" ht="84" spans="1:6">
      <c r="A61" s="4" t="s">
        <v>105</v>
      </c>
      <c r="B61" s="5" t="s">
        <v>112</v>
      </c>
      <c r="C61" s="5" t="s">
        <v>113</v>
      </c>
      <c r="D61" s="4">
        <v>450</v>
      </c>
      <c r="E61" s="4">
        <v>1</v>
      </c>
      <c r="F61" s="6"/>
    </row>
    <row r="62" ht="60" spans="1:6">
      <c r="A62" s="4" t="s">
        <v>105</v>
      </c>
      <c r="B62" s="5" t="s">
        <v>114</v>
      </c>
      <c r="C62" s="5" t="s">
        <v>64</v>
      </c>
      <c r="D62" s="4">
        <v>1845</v>
      </c>
      <c r="E62" s="4">
        <v>4</v>
      </c>
      <c r="F62" s="6" t="s">
        <v>115</v>
      </c>
    </row>
    <row r="63" ht="36" spans="1:6">
      <c r="A63" s="4" t="s">
        <v>116</v>
      </c>
      <c r="B63" s="5" t="s">
        <v>117</v>
      </c>
      <c r="C63" s="5" t="s">
        <v>118</v>
      </c>
      <c r="D63" s="4">
        <v>52000</v>
      </c>
      <c r="E63" s="4">
        <v>13</v>
      </c>
      <c r="F63" s="6"/>
    </row>
    <row r="64" ht="72" spans="1:6">
      <c r="A64" s="4" t="s">
        <v>119</v>
      </c>
      <c r="B64" s="5" t="s">
        <v>120</v>
      </c>
      <c r="C64" s="5" t="s">
        <v>121</v>
      </c>
      <c r="D64" s="4">
        <v>777</v>
      </c>
      <c r="E64" s="4">
        <v>2</v>
      </c>
      <c r="F64" s="6" t="s">
        <v>122</v>
      </c>
    </row>
    <row r="65" ht="72" spans="1:6">
      <c r="A65" s="4" t="s">
        <v>119</v>
      </c>
      <c r="B65" s="5" t="s">
        <v>76</v>
      </c>
      <c r="C65" s="5" t="s">
        <v>77</v>
      </c>
      <c r="D65" s="4">
        <v>691</v>
      </c>
      <c r="E65" s="4">
        <v>2</v>
      </c>
      <c r="F65" s="6"/>
    </row>
    <row r="66" ht="72" spans="1:6">
      <c r="A66" s="4" t="s">
        <v>119</v>
      </c>
      <c r="B66" s="5" t="s">
        <v>123</v>
      </c>
      <c r="C66" s="5" t="s">
        <v>124</v>
      </c>
      <c r="D66" s="4">
        <v>721</v>
      </c>
      <c r="E66" s="4">
        <v>2</v>
      </c>
      <c r="F66" s="6" t="s">
        <v>125</v>
      </c>
    </row>
    <row r="67" ht="72" spans="1:6">
      <c r="A67" s="4" t="s">
        <v>119</v>
      </c>
      <c r="B67" s="5" t="s">
        <v>39</v>
      </c>
      <c r="C67" s="5" t="s">
        <v>40</v>
      </c>
      <c r="D67" s="4">
        <v>251</v>
      </c>
      <c r="E67" s="4">
        <v>2</v>
      </c>
      <c r="F67" s="6"/>
    </row>
    <row r="68" ht="24" spans="1:6">
      <c r="A68" s="4" t="s">
        <v>126</v>
      </c>
      <c r="B68" s="5" t="s">
        <v>127</v>
      </c>
      <c r="C68" s="5" t="s">
        <v>128</v>
      </c>
      <c r="D68" s="4"/>
      <c r="E68" s="4"/>
      <c r="F68" s="6"/>
    </row>
    <row r="69" ht="24" spans="1:6">
      <c r="A69" s="4" t="s">
        <v>129</v>
      </c>
      <c r="B69" s="5" t="s">
        <v>127</v>
      </c>
      <c r="C69" s="5" t="s">
        <v>128</v>
      </c>
      <c r="D69" s="4"/>
      <c r="E69" s="4"/>
      <c r="F69" s="6"/>
    </row>
    <row r="70" ht="60" spans="1:6">
      <c r="A70" s="4" t="s">
        <v>130</v>
      </c>
      <c r="B70" s="5" t="s">
        <v>131</v>
      </c>
      <c r="C70" s="5" t="s">
        <v>132</v>
      </c>
      <c r="D70" s="4">
        <v>3499</v>
      </c>
      <c r="E70" s="7">
        <v>9</v>
      </c>
      <c r="F70" s="6"/>
    </row>
    <row r="71" ht="60" spans="1:6">
      <c r="A71" s="4" t="s">
        <v>133</v>
      </c>
      <c r="B71" s="5" t="s">
        <v>37</v>
      </c>
      <c r="C71" s="5" t="s">
        <v>38</v>
      </c>
      <c r="D71" s="4">
        <v>275</v>
      </c>
      <c r="E71" s="7">
        <v>1</v>
      </c>
      <c r="F71" s="6"/>
    </row>
    <row r="72" ht="60" spans="1:6">
      <c r="A72" s="4" t="s">
        <v>133</v>
      </c>
      <c r="B72" s="5" t="s">
        <v>25</v>
      </c>
      <c r="C72" s="5" t="s">
        <v>26</v>
      </c>
      <c r="D72" s="4">
        <v>0</v>
      </c>
      <c r="E72" s="7">
        <v>0</v>
      </c>
      <c r="F72" s="6" t="s">
        <v>27</v>
      </c>
    </row>
    <row r="73" ht="60" spans="1:6">
      <c r="A73" s="4" t="s">
        <v>133</v>
      </c>
      <c r="B73" s="5" t="s">
        <v>134</v>
      </c>
      <c r="C73" s="5" t="s">
        <v>135</v>
      </c>
      <c r="D73" s="4">
        <v>411</v>
      </c>
      <c r="E73" s="7">
        <v>1</v>
      </c>
      <c r="F73" s="6"/>
    </row>
    <row r="74" ht="60" spans="1:6">
      <c r="A74" s="4" t="s">
        <v>133</v>
      </c>
      <c r="B74" s="5" t="s">
        <v>28</v>
      </c>
      <c r="C74" s="5" t="s">
        <v>29</v>
      </c>
      <c r="D74" s="4">
        <v>12</v>
      </c>
      <c r="E74" s="7">
        <v>1</v>
      </c>
      <c r="F74" s="6"/>
    </row>
    <row r="75" ht="60" spans="1:6">
      <c r="A75" s="4" t="s">
        <v>133</v>
      </c>
      <c r="B75" s="5" t="s">
        <v>136</v>
      </c>
      <c r="C75" s="5" t="s">
        <v>137</v>
      </c>
      <c r="D75" s="8">
        <v>44</v>
      </c>
      <c r="E75" s="7">
        <v>1</v>
      </c>
      <c r="F75" s="6"/>
    </row>
    <row r="76" ht="48" spans="1:6">
      <c r="A76" s="4" t="s">
        <v>133</v>
      </c>
      <c r="B76" s="5" t="s">
        <v>138</v>
      </c>
      <c r="C76" s="5" t="s">
        <v>139</v>
      </c>
      <c r="D76" s="8">
        <v>92</v>
      </c>
      <c r="E76" s="7">
        <v>1</v>
      </c>
      <c r="F76" s="6"/>
    </row>
    <row r="77" ht="48" spans="1:6">
      <c r="A77" s="4" t="s">
        <v>133</v>
      </c>
      <c r="B77" s="5" t="s">
        <v>140</v>
      </c>
      <c r="C77" s="5" t="s">
        <v>141</v>
      </c>
      <c r="D77" s="4">
        <v>1380</v>
      </c>
      <c r="E77" s="7" t="s">
        <v>142</v>
      </c>
      <c r="F77" s="6" t="s">
        <v>143</v>
      </c>
    </row>
    <row r="78" ht="60" spans="1:6">
      <c r="A78" s="4" t="s">
        <v>133</v>
      </c>
      <c r="B78" s="5" t="s">
        <v>144</v>
      </c>
      <c r="C78" s="5" t="s">
        <v>145</v>
      </c>
      <c r="D78" s="8">
        <v>30</v>
      </c>
      <c r="E78" s="7">
        <v>1</v>
      </c>
      <c r="F78" s="6" t="s">
        <v>146</v>
      </c>
    </row>
    <row r="79" ht="36" spans="1:6">
      <c r="A79" s="4" t="s">
        <v>147</v>
      </c>
      <c r="B79" s="5" t="s">
        <v>148</v>
      </c>
      <c r="C79" s="5" t="s">
        <v>149</v>
      </c>
      <c r="D79" s="4">
        <v>2638</v>
      </c>
      <c r="E79" s="7">
        <v>1</v>
      </c>
      <c r="F79" s="6"/>
    </row>
    <row r="80" ht="36" spans="1:6">
      <c r="A80" s="4" t="s">
        <v>147</v>
      </c>
      <c r="B80" s="5" t="s">
        <v>150</v>
      </c>
      <c r="C80" s="5" t="s">
        <v>151</v>
      </c>
      <c r="D80" s="4">
        <v>2729</v>
      </c>
      <c r="E80" s="7">
        <v>1</v>
      </c>
      <c r="F80" s="6"/>
    </row>
    <row r="81" ht="24" spans="1:6">
      <c r="A81" s="4" t="s">
        <v>147</v>
      </c>
      <c r="B81" s="5" t="s">
        <v>152</v>
      </c>
      <c r="C81" s="5" t="s">
        <v>153</v>
      </c>
      <c r="D81" s="4">
        <f>3130+3130</f>
        <v>6260</v>
      </c>
      <c r="E81" s="7">
        <v>2</v>
      </c>
      <c r="F81" s="6"/>
    </row>
    <row r="82" ht="36" spans="1:6">
      <c r="A82" s="4" t="s">
        <v>147</v>
      </c>
      <c r="B82" s="5" t="s">
        <v>154</v>
      </c>
      <c r="C82" s="5" t="s">
        <v>155</v>
      </c>
      <c r="D82" s="4">
        <v>4000</v>
      </c>
      <c r="E82" s="7">
        <v>1</v>
      </c>
      <c r="F82" s="6"/>
    </row>
    <row r="83" ht="36" spans="1:6">
      <c r="A83" s="4" t="s">
        <v>156</v>
      </c>
      <c r="B83" s="5" t="s">
        <v>157</v>
      </c>
      <c r="C83" s="5" t="s">
        <v>158</v>
      </c>
      <c r="D83" s="4">
        <f>4000+4000</f>
        <v>8000</v>
      </c>
      <c r="E83" s="7">
        <v>2</v>
      </c>
      <c r="F83" s="6"/>
    </row>
    <row r="84" ht="36" spans="1:6">
      <c r="A84" s="4" t="s">
        <v>156</v>
      </c>
      <c r="B84" s="5" t="s">
        <v>117</v>
      </c>
      <c r="C84" s="5" t="s">
        <v>118</v>
      </c>
      <c r="D84" s="4">
        <f>6393+6628</f>
        <v>13021</v>
      </c>
      <c r="E84" s="7">
        <v>2</v>
      </c>
      <c r="F84" s="6"/>
    </row>
    <row r="85" ht="24" spans="1:6">
      <c r="A85" s="4" t="s">
        <v>156</v>
      </c>
      <c r="B85" s="5" t="s">
        <v>152</v>
      </c>
      <c r="C85" s="5" t="s">
        <v>153</v>
      </c>
      <c r="D85" s="4">
        <v>12390</v>
      </c>
      <c r="E85" s="7">
        <v>4</v>
      </c>
      <c r="F85" s="6"/>
    </row>
    <row r="86" ht="36" spans="1:6">
      <c r="A86" s="4" t="s">
        <v>159</v>
      </c>
      <c r="B86" s="5" t="s">
        <v>160</v>
      </c>
      <c r="C86" s="5" t="s">
        <v>161</v>
      </c>
      <c r="D86" s="4">
        <v>40000</v>
      </c>
      <c r="E86" s="7">
        <v>3</v>
      </c>
      <c r="F86" s="6"/>
    </row>
    <row r="87" ht="36" spans="1:6">
      <c r="A87" s="4" t="s">
        <v>159</v>
      </c>
      <c r="B87" s="5" t="s">
        <v>157</v>
      </c>
      <c r="C87" s="5" t="s">
        <v>158</v>
      </c>
      <c r="D87" s="4">
        <v>4450</v>
      </c>
      <c r="E87" s="7">
        <v>1</v>
      </c>
      <c r="F87" s="6"/>
    </row>
    <row r="88" ht="24" spans="1:6">
      <c r="A88" s="4" t="s">
        <v>159</v>
      </c>
      <c r="B88" s="5" t="s">
        <v>162</v>
      </c>
      <c r="C88" s="5" t="s">
        <v>163</v>
      </c>
      <c r="D88" s="4">
        <v>2000</v>
      </c>
      <c r="E88" s="7">
        <v>10</v>
      </c>
      <c r="F88" s="6"/>
    </row>
    <row r="89" ht="36" spans="1:6">
      <c r="A89" s="4" t="s">
        <v>159</v>
      </c>
      <c r="B89" s="5" t="s">
        <v>164</v>
      </c>
      <c r="C89" s="5" t="s">
        <v>165</v>
      </c>
      <c r="D89" s="4">
        <v>10252</v>
      </c>
      <c r="E89" s="7">
        <v>1</v>
      </c>
      <c r="F89" s="6"/>
    </row>
    <row r="90" ht="48" spans="1:6">
      <c r="A90" s="4" t="s">
        <v>166</v>
      </c>
      <c r="B90" s="5" t="s">
        <v>167</v>
      </c>
      <c r="C90" s="5" t="s">
        <v>168</v>
      </c>
      <c r="D90" s="4">
        <v>900</v>
      </c>
      <c r="E90" s="7" t="s">
        <v>142</v>
      </c>
      <c r="F90" s="6"/>
    </row>
    <row r="91" ht="27.6" spans="1:6">
      <c r="A91" s="4" t="s">
        <v>169</v>
      </c>
      <c r="B91" s="5" t="s">
        <v>170</v>
      </c>
      <c r="C91" s="5" t="s">
        <v>171</v>
      </c>
      <c r="D91" s="4">
        <v>1138</v>
      </c>
      <c r="E91" s="7" t="s">
        <v>142</v>
      </c>
      <c r="F91" s="6" t="s">
        <v>172</v>
      </c>
    </row>
    <row r="92" ht="24" spans="1:6">
      <c r="A92" s="4" t="s">
        <v>173</v>
      </c>
      <c r="B92" s="5" t="s">
        <v>127</v>
      </c>
      <c r="C92" s="5" t="s">
        <v>174</v>
      </c>
      <c r="D92" s="4" t="s">
        <v>175</v>
      </c>
      <c r="E92" s="7" t="s">
        <v>175</v>
      </c>
      <c r="F92" s="6"/>
    </row>
    <row r="93" ht="36" spans="1:6">
      <c r="A93" s="4" t="s">
        <v>176</v>
      </c>
      <c r="B93" s="5" t="s">
        <v>157</v>
      </c>
      <c r="C93" s="5" t="s">
        <v>158</v>
      </c>
      <c r="D93" s="4">
        <v>52496</v>
      </c>
      <c r="E93" s="7">
        <v>13</v>
      </c>
      <c r="F93" s="6"/>
    </row>
    <row r="94" ht="24" spans="1:6">
      <c r="A94" s="4" t="s">
        <v>177</v>
      </c>
      <c r="B94" s="5" t="s">
        <v>178</v>
      </c>
      <c r="C94" s="5" t="s">
        <v>179</v>
      </c>
      <c r="D94" s="4">
        <v>8</v>
      </c>
      <c r="E94" s="7" t="s">
        <v>142</v>
      </c>
      <c r="F94" s="6"/>
    </row>
    <row r="95" ht="24" spans="1:6">
      <c r="A95" s="4" t="s">
        <v>177</v>
      </c>
      <c r="B95" s="5" t="s">
        <v>180</v>
      </c>
      <c r="C95" s="5" t="s">
        <v>181</v>
      </c>
      <c r="D95" s="4">
        <v>18</v>
      </c>
      <c r="E95" s="7" t="s">
        <v>142</v>
      </c>
      <c r="F95" s="6"/>
    </row>
    <row r="96" ht="24" spans="1:6">
      <c r="A96" s="4" t="s">
        <v>177</v>
      </c>
      <c r="B96" s="5" t="s">
        <v>182</v>
      </c>
      <c r="C96" s="5" t="s">
        <v>183</v>
      </c>
      <c r="D96" s="4">
        <v>16</v>
      </c>
      <c r="E96" s="7" t="s">
        <v>142</v>
      </c>
      <c r="F96" s="6"/>
    </row>
    <row r="97" ht="36" spans="1:6">
      <c r="A97" s="4" t="s">
        <v>184</v>
      </c>
      <c r="B97" s="5" t="s">
        <v>185</v>
      </c>
      <c r="C97" s="5" t="s">
        <v>186</v>
      </c>
      <c r="D97" s="4" t="s">
        <v>175</v>
      </c>
      <c r="E97" s="7" t="s">
        <v>175</v>
      </c>
      <c r="F97" s="6"/>
    </row>
    <row r="98" ht="48" spans="1:6">
      <c r="A98" s="4" t="s">
        <v>184</v>
      </c>
      <c r="B98" s="5" t="s">
        <v>187</v>
      </c>
      <c r="C98" s="5" t="s">
        <v>188</v>
      </c>
      <c r="D98" s="4">
        <v>100</v>
      </c>
      <c r="E98" s="7">
        <v>1</v>
      </c>
      <c r="F98" s="6"/>
    </row>
    <row r="99" ht="60" spans="1:6">
      <c r="A99" s="4" t="s">
        <v>184</v>
      </c>
      <c r="B99" s="5" t="s">
        <v>189</v>
      </c>
      <c r="C99" s="5" t="s">
        <v>190</v>
      </c>
      <c r="D99" s="4">
        <v>835</v>
      </c>
      <c r="E99" s="7">
        <v>1</v>
      </c>
      <c r="F99" s="6"/>
    </row>
    <row r="100" ht="48" spans="1:6">
      <c r="A100" s="4" t="s">
        <v>184</v>
      </c>
      <c r="B100" s="5" t="s">
        <v>191</v>
      </c>
      <c r="C100" s="5" t="s">
        <v>192</v>
      </c>
      <c r="D100" s="4">
        <v>165</v>
      </c>
      <c r="E100" s="7">
        <v>1</v>
      </c>
      <c r="F100" s="6"/>
    </row>
    <row r="101" ht="24" spans="1:6">
      <c r="A101" s="4" t="s">
        <v>193</v>
      </c>
      <c r="B101" s="5" t="s">
        <v>194</v>
      </c>
      <c r="C101" s="5" t="s">
        <v>195</v>
      </c>
      <c r="D101" s="4">
        <v>18</v>
      </c>
      <c r="E101" s="7" t="s">
        <v>142</v>
      </c>
      <c r="F101" s="6"/>
    </row>
    <row r="102" ht="24" spans="1:6">
      <c r="A102" s="4" t="s">
        <v>193</v>
      </c>
      <c r="B102" s="5" t="s">
        <v>196</v>
      </c>
      <c r="C102" s="5" t="s">
        <v>197</v>
      </c>
      <c r="D102" s="4">
        <v>9</v>
      </c>
      <c r="E102" s="7" t="s">
        <v>142</v>
      </c>
      <c r="F102" s="6"/>
    </row>
    <row r="103" ht="24" spans="1:6">
      <c r="A103" s="4" t="s">
        <v>193</v>
      </c>
      <c r="B103" s="5" t="s">
        <v>198</v>
      </c>
      <c r="C103" s="5" t="s">
        <v>199</v>
      </c>
      <c r="D103" s="4">
        <v>14</v>
      </c>
      <c r="E103" s="7" t="s">
        <v>142</v>
      </c>
      <c r="F103" s="6"/>
    </row>
    <row r="104" ht="24" spans="1:6">
      <c r="A104" s="4" t="s">
        <v>200</v>
      </c>
      <c r="B104" s="5" t="s">
        <v>127</v>
      </c>
      <c r="C104" s="5" t="s">
        <v>174</v>
      </c>
      <c r="D104" s="4" t="s">
        <v>175</v>
      </c>
      <c r="E104" s="7" t="s">
        <v>175</v>
      </c>
      <c r="F104" s="6"/>
    </row>
    <row r="105" ht="36" spans="1:6">
      <c r="A105" s="4" t="s">
        <v>201</v>
      </c>
      <c r="B105" s="5" t="s">
        <v>202</v>
      </c>
      <c r="C105" s="5" t="s">
        <v>203</v>
      </c>
      <c r="D105" s="4">
        <v>8000</v>
      </c>
      <c r="E105" s="7">
        <v>2</v>
      </c>
      <c r="F105" s="6" t="s">
        <v>204</v>
      </c>
    </row>
    <row r="106" ht="24" spans="1:6">
      <c r="A106" s="4" t="s">
        <v>205</v>
      </c>
      <c r="B106" s="5" t="s">
        <v>162</v>
      </c>
      <c r="C106" s="5" t="s">
        <v>163</v>
      </c>
      <c r="D106" s="4">
        <v>3400</v>
      </c>
      <c r="E106" s="7">
        <v>17</v>
      </c>
      <c r="F106" s="6"/>
    </row>
    <row r="107" ht="24" spans="1:6">
      <c r="A107" s="4" t="s">
        <v>206</v>
      </c>
      <c r="B107" s="5" t="s">
        <v>207</v>
      </c>
      <c r="C107" s="5" t="s">
        <v>208</v>
      </c>
      <c r="D107" s="4">
        <v>44000</v>
      </c>
      <c r="E107" s="7">
        <v>11</v>
      </c>
      <c r="F107" s="6"/>
    </row>
    <row r="108" ht="48" spans="1:6">
      <c r="A108" s="4" t="s">
        <v>209</v>
      </c>
      <c r="B108" s="5" t="s">
        <v>142</v>
      </c>
      <c r="C108" s="5" t="s">
        <v>210</v>
      </c>
      <c r="D108" s="4" t="s">
        <v>142</v>
      </c>
      <c r="E108" s="7" t="s">
        <v>142</v>
      </c>
      <c r="F108" s="6"/>
    </row>
    <row r="109" ht="108" spans="1:6">
      <c r="A109" s="8" t="s">
        <v>211</v>
      </c>
      <c r="B109" s="9" t="s">
        <v>212</v>
      </c>
      <c r="C109" s="9" t="s">
        <v>213</v>
      </c>
      <c r="D109" s="8">
        <v>5111</v>
      </c>
      <c r="E109" s="8">
        <v>6</v>
      </c>
      <c r="F109" s="6" t="s">
        <v>214</v>
      </c>
    </row>
    <row r="110" ht="60" spans="1:6">
      <c r="A110" s="4" t="s">
        <v>215</v>
      </c>
      <c r="B110" s="5" t="s">
        <v>131</v>
      </c>
      <c r="C110" s="5" t="s">
        <v>132</v>
      </c>
      <c r="D110" s="4">
        <v>2978</v>
      </c>
      <c r="E110" s="4">
        <v>7</v>
      </c>
      <c r="F110" s="6" t="s">
        <v>216</v>
      </c>
    </row>
    <row r="111" ht="84" spans="1:6">
      <c r="A111" s="4" t="s">
        <v>215</v>
      </c>
      <c r="B111" s="5" t="s">
        <v>217</v>
      </c>
      <c r="C111" s="5" t="s">
        <v>218</v>
      </c>
      <c r="D111" s="4">
        <v>900</v>
      </c>
      <c r="E111" s="4">
        <v>2</v>
      </c>
      <c r="F111" s="6"/>
    </row>
    <row r="112" ht="60" spans="1:6">
      <c r="A112" s="4" t="s">
        <v>219</v>
      </c>
      <c r="B112" s="5" t="s">
        <v>55</v>
      </c>
      <c r="C112" s="5" t="s">
        <v>56</v>
      </c>
      <c r="D112" s="4">
        <v>900</v>
      </c>
      <c r="E112" s="4">
        <v>2</v>
      </c>
      <c r="F112" s="6"/>
    </row>
    <row r="113" ht="60" spans="1:6">
      <c r="A113" s="4" t="s">
        <v>219</v>
      </c>
      <c r="B113" s="5" t="s">
        <v>114</v>
      </c>
      <c r="C113" s="5" t="s">
        <v>64</v>
      </c>
      <c r="D113" s="4">
        <v>3150</v>
      </c>
      <c r="E113" s="4">
        <v>7</v>
      </c>
      <c r="F113" s="6"/>
    </row>
    <row r="114" ht="60" spans="1:6">
      <c r="A114" s="4" t="s">
        <v>220</v>
      </c>
      <c r="B114" s="5" t="s">
        <v>55</v>
      </c>
      <c r="C114" s="5" t="s">
        <v>56</v>
      </c>
      <c r="D114" s="4">
        <v>3600</v>
      </c>
      <c r="E114" s="4">
        <v>8</v>
      </c>
      <c r="F114" s="6"/>
    </row>
    <row r="115" spans="1:6">
      <c r="A115" s="4" t="s">
        <v>221</v>
      </c>
      <c r="B115" s="5" t="s">
        <v>222</v>
      </c>
      <c r="C115" s="5" t="s">
        <v>223</v>
      </c>
      <c r="D115" s="4">
        <v>10000</v>
      </c>
      <c r="E115" s="4" t="s">
        <v>142</v>
      </c>
      <c r="F115" s="6"/>
    </row>
    <row r="116" spans="1:6">
      <c r="A116" s="4" t="s">
        <v>224</v>
      </c>
      <c r="B116" s="5" t="s">
        <v>222</v>
      </c>
      <c r="C116" s="5" t="s">
        <v>223</v>
      </c>
      <c r="D116" s="4">
        <v>9000</v>
      </c>
      <c r="E116" s="4" t="s">
        <v>142</v>
      </c>
      <c r="F116" s="6"/>
    </row>
    <row r="117" spans="1:6">
      <c r="A117" s="4" t="s">
        <v>225</v>
      </c>
      <c r="B117" s="5" t="s">
        <v>222</v>
      </c>
      <c r="C117" s="5" t="s">
        <v>223</v>
      </c>
      <c r="D117" s="4">
        <v>9000</v>
      </c>
      <c r="E117" s="4" t="s">
        <v>142</v>
      </c>
      <c r="F117" s="6"/>
    </row>
    <row r="118" ht="48" spans="1:6">
      <c r="A118" s="8" t="s">
        <v>226</v>
      </c>
      <c r="B118" s="9" t="s">
        <v>17</v>
      </c>
      <c r="C118" s="9" t="s">
        <v>18</v>
      </c>
      <c r="D118" s="8">
        <v>3352</v>
      </c>
      <c r="E118" s="8">
        <v>8</v>
      </c>
      <c r="F118" s="6"/>
    </row>
    <row r="119" ht="48" spans="1:6">
      <c r="A119" s="8" t="s">
        <v>226</v>
      </c>
      <c r="B119" s="9" t="s">
        <v>13</v>
      </c>
      <c r="C119" s="9" t="s">
        <v>14</v>
      </c>
      <c r="D119" s="8">
        <v>450</v>
      </c>
      <c r="E119" s="8">
        <v>1</v>
      </c>
      <c r="F119" s="6"/>
    </row>
    <row r="120" ht="24" spans="1:6">
      <c r="A120" s="8" t="s">
        <v>227</v>
      </c>
      <c r="B120" s="9" t="s">
        <v>228</v>
      </c>
      <c r="C120" s="9" t="s">
        <v>229</v>
      </c>
      <c r="D120" s="8">
        <v>468</v>
      </c>
      <c r="E120" s="8"/>
      <c r="F120" s="6"/>
    </row>
    <row r="121" ht="24" spans="1:6">
      <c r="A121" s="4" t="s">
        <v>230</v>
      </c>
      <c r="B121" s="9" t="s">
        <v>231</v>
      </c>
      <c r="C121" s="9" t="s">
        <v>232</v>
      </c>
      <c r="D121" s="4">
        <v>1920</v>
      </c>
      <c r="E121" s="4"/>
      <c r="F121" s="6"/>
    </row>
    <row r="122" ht="24" spans="1:6">
      <c r="A122" s="4" t="s">
        <v>233</v>
      </c>
      <c r="B122" s="5" t="s">
        <v>234</v>
      </c>
      <c r="C122" s="5" t="s">
        <v>235</v>
      </c>
      <c r="D122" s="4">
        <v>39000</v>
      </c>
      <c r="E122" s="4" t="s">
        <v>142</v>
      </c>
      <c r="F122" s="6"/>
    </row>
    <row r="123" ht="60" spans="1:6">
      <c r="A123" s="4" t="s">
        <v>236</v>
      </c>
      <c r="B123" s="5" t="s">
        <v>237</v>
      </c>
      <c r="C123" s="5" t="s">
        <v>238</v>
      </c>
      <c r="D123" s="4">
        <v>49</v>
      </c>
      <c r="E123" s="4">
        <v>1</v>
      </c>
      <c r="F123" s="6"/>
    </row>
    <row r="124" ht="60" spans="1:6">
      <c r="A124" s="4" t="s">
        <v>236</v>
      </c>
      <c r="B124" s="9" t="s">
        <v>239</v>
      </c>
      <c r="C124" s="9" t="s">
        <v>240</v>
      </c>
      <c r="D124" s="8">
        <v>43</v>
      </c>
      <c r="E124" s="8">
        <v>1</v>
      </c>
      <c r="F124" s="6"/>
    </row>
    <row r="125" ht="48" spans="1:6">
      <c r="A125" s="4" t="s">
        <v>236</v>
      </c>
      <c r="B125" s="5" t="s">
        <v>13</v>
      </c>
      <c r="C125" s="5" t="s">
        <v>14</v>
      </c>
      <c r="D125" s="4">
        <v>2128</v>
      </c>
      <c r="E125" s="4">
        <v>5</v>
      </c>
      <c r="F125" s="6"/>
    </row>
    <row r="126" ht="36" spans="1:6">
      <c r="A126" s="4" t="s">
        <v>236</v>
      </c>
      <c r="B126" s="5" t="s">
        <v>241</v>
      </c>
      <c r="C126" s="5" t="s">
        <v>242</v>
      </c>
      <c r="D126" s="4">
        <v>100</v>
      </c>
      <c r="E126" s="4">
        <v>2</v>
      </c>
      <c r="F126" s="6"/>
    </row>
    <row r="127" ht="60" spans="1:6">
      <c r="A127" s="8" t="s">
        <v>243</v>
      </c>
      <c r="B127" s="5" t="s">
        <v>30</v>
      </c>
      <c r="C127" s="5" t="s">
        <v>31</v>
      </c>
      <c r="D127" s="4">
        <v>450</v>
      </c>
      <c r="E127" s="4">
        <v>1</v>
      </c>
      <c r="F127" s="6"/>
    </row>
    <row r="128" ht="60" spans="1:6">
      <c r="A128" s="8" t="s">
        <v>244</v>
      </c>
      <c r="B128" s="5" t="s">
        <v>25</v>
      </c>
      <c r="C128" s="5" t="s">
        <v>26</v>
      </c>
      <c r="D128" s="8">
        <v>3150</v>
      </c>
      <c r="E128" s="4">
        <v>7</v>
      </c>
      <c r="F128" s="6"/>
    </row>
    <row r="129" ht="84" spans="1:6">
      <c r="A129" s="8" t="s">
        <v>244</v>
      </c>
      <c r="B129" s="5" t="s">
        <v>245</v>
      </c>
      <c r="C129" s="5" t="s">
        <v>246</v>
      </c>
      <c r="D129" s="8">
        <v>900</v>
      </c>
      <c r="E129" s="4">
        <v>2</v>
      </c>
      <c r="F129" s="6"/>
    </row>
    <row r="130" ht="48" spans="1:6">
      <c r="A130" s="8" t="s">
        <v>247</v>
      </c>
      <c r="B130" s="5" t="s">
        <v>248</v>
      </c>
      <c r="C130" s="5" t="s">
        <v>249</v>
      </c>
      <c r="D130" s="4">
        <v>676</v>
      </c>
      <c r="E130" s="4">
        <v>4</v>
      </c>
      <c r="F130" s="6"/>
    </row>
    <row r="131" ht="48" spans="1:6">
      <c r="A131" s="8" t="s">
        <v>250</v>
      </c>
      <c r="B131" s="5" t="s">
        <v>248</v>
      </c>
      <c r="C131" s="5" t="s">
        <v>249</v>
      </c>
      <c r="D131" s="4">
        <v>676</v>
      </c>
      <c r="E131" s="4">
        <v>4</v>
      </c>
      <c r="F131" s="6"/>
    </row>
    <row r="132" ht="48" spans="1:6">
      <c r="A132" s="8" t="s">
        <v>251</v>
      </c>
      <c r="B132" s="5" t="s">
        <v>248</v>
      </c>
      <c r="C132" s="5" t="s">
        <v>249</v>
      </c>
      <c r="D132" s="4">
        <v>672</v>
      </c>
      <c r="E132" s="4">
        <v>4</v>
      </c>
      <c r="F132" s="6"/>
    </row>
    <row r="133" ht="84" spans="1:6">
      <c r="A133" s="8" t="s">
        <v>252</v>
      </c>
      <c r="B133" s="9" t="s">
        <v>245</v>
      </c>
      <c r="C133" s="9" t="s">
        <v>246</v>
      </c>
      <c r="D133" s="8">
        <v>900</v>
      </c>
      <c r="E133" s="8">
        <v>2</v>
      </c>
      <c r="F133" s="6"/>
    </row>
  </sheetData>
  <pageMargins left="0.7" right="0.7" top="0.75" bottom="0.75" header="0.3" footer="0.3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Goire</dc:creator>
  <cp:lastModifiedBy>goire</cp:lastModifiedBy>
  <dcterms:created xsi:type="dcterms:W3CDTF">2026-04-23T01:48:00Z</dcterms:created>
  <dcterms:modified xsi:type="dcterms:W3CDTF">2026-04-23T23:41:45Z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4AD0C0E16CD64AC3BE42146BCAD14D72_12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